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Inputs" sheetId="3" state="visible" r:id="rId5"/>
    <sheet name="Actions" sheetId="4" state="visible" r:id="rId6"/>
    <sheet name="Options_3y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<sst xmlns="http://schemas.openxmlformats.org/spreadsheetml/2006/main" count="222" uniqueCount="144">
  <si>
    <t xml:space="preserve">Compliance services value model</t>
  </si>
  <si>
    <t xml:space="preserve">A risk-based business case for renewing compliance support at a fictional multi-academy trust.</t>
  </si>
  <si>
    <t xml:space="preserve">Scenario: Northfield Learning Trust (fictional, six schools) has a new business manager reviewing budgets. They plan to cancel fire safety, health and safety, and data protection support.</t>
  </si>
  <si>
    <t xml:space="preserve">The model compares three options over three years: keep the service, bring compliance in-house, or cancel with no replacement.</t>
  </si>
  <si>
    <t xml:space="preserve">How to use</t>
  </si>
  <si>
    <t xml:space="preserve">1. Change blue cells on the Inputs sheet. Yellow cells are the key assumptions to agree with the customer.</t>
  </si>
  <si>
    <t xml:space="preserve">2. Pick a scenario on Inputs (1 = Conservative, 2 = Expected, 3 = High).</t>
  </si>
  <si>
    <t xml:space="preserve">3. Read results on the Summary sheet. Actions lists the outstanding audit actions that drive risk exposure.</t>
  </si>
  <si>
    <t xml:space="preserve">Colour key: blue = input, black = formula, green = link to another sheet, yellow fill = key assumption.</t>
  </si>
  <si>
    <t xml:space="preserve">Important: the organisation, actions and all figures are fictional and illustrative. Enforcement probabilities and impacts are modelling assumptions, not legal advice or real penalty data.</t>
  </si>
  <si>
    <t xml:space="preserve">Built by Chelsea Alagoa as a portfolio example of value assessment and ROI/TCO modelling.</t>
  </si>
  <si>
    <t xml:space="preserve">Summary</t>
  </si>
  <si>
    <t xml:space="preserve">Outstanding actions</t>
  </si>
  <si>
    <t xml:space="preserve">Total outstanding actions</t>
  </si>
  <si>
    <t xml:space="preserve">High-risk actions</t>
  </si>
  <si>
    <t xml:space="preserve">Actions with no owner assigned</t>
  </si>
  <si>
    <t xml:space="preserve">Annual risk exposure if the trust cancels (by scenario)</t>
  </si>
  <si>
    <t xml:space="preserve">Conservative</t>
  </si>
  <si>
    <t xml:space="preserve">Expected</t>
  </si>
  <si>
    <t xml:space="preserve">High</t>
  </si>
  <si>
    <t xml:space="preserve">Risk exposure per year</t>
  </si>
  <si>
    <t xml:space="preserve">Annual service fees</t>
  </si>
  <si>
    <t xml:space="preserve">Exposure for every £1 of fees</t>
  </si>
  <si>
    <t xml:space="preserve">Year 1 ROI of keeping the service</t>
  </si>
  <si>
    <t xml:space="preserve">Three-year comparison (selected scenario)</t>
  </si>
  <si>
    <t xml:space="preserve">Option</t>
  </si>
  <si>
    <t xml:space="preserve">3-year total cost</t>
  </si>
  <si>
    <t xml:space="preserve">vs keeping provider</t>
  </si>
  <si>
    <t xml:space="preserve">A: keep provider support</t>
  </si>
  <si>
    <t xml:space="preserve">B: bring compliance in-house</t>
  </si>
  <si>
    <t xml:space="preserve">C: cancel with no replacement</t>
  </si>
  <si>
    <t xml:space="preserve">Payback on Year 1 fees (months), selected scenario</t>
  </si>
  <si>
    <t xml:space="preserve">Reading the result: compare the fees with the exposure they remove, then agree the yellow assumptions with the customer before presenting.</t>
  </si>
  <si>
    <t xml:space="preserve">All figures are fictional and illustrative.</t>
  </si>
  <si>
    <t xml:space="preserve">Inputs and assumptions</t>
  </si>
  <si>
    <t xml:space="preserve">Scenario selected (1 = Conservative, 2 = Expected, 3 = High)</t>
  </si>
  <si>
    <t xml:space="preserve">Drives the Options and Summary sheets.</t>
  </si>
  <si>
    <t xml:space="preserve">Probability an unresolved action leads to enforcement within 12 months</t>
  </si>
  <si>
    <t xml:space="preserve">Risk rating</t>
  </si>
  <si>
    <t xml:space="preserve">Illustrative assumption. Agree with the customer and their insurer or adviser.</t>
  </si>
  <si>
    <t xml:space="preserve">Medium</t>
  </si>
  <si>
    <t xml:space="preserve">Low</t>
  </si>
  <si>
    <t xml:space="preserve">Financial impact per enforcement event (fine, legal costs, remediation)</t>
  </si>
  <si>
    <t xml:space="preserve">Service area</t>
  </si>
  <si>
    <t xml:space="preserve">Impact (£)</t>
  </si>
  <si>
    <t xml:space="preserve">Fire safety</t>
  </si>
  <si>
    <t xml:space="preserve">Illustrative. Fire safety offences can attract unlimited fines, so this is deliberately conservative.</t>
  </si>
  <si>
    <t xml:space="preserve">Health and safety</t>
  </si>
  <si>
    <t xml:space="preserve">Data protection</t>
  </si>
  <si>
    <t xml:space="preserve">Annual service fees (£)</t>
  </si>
  <si>
    <t xml:space="preserve">Fire safety support</t>
  </si>
  <si>
    <t xml:space="preserve">Health and safety support</t>
  </si>
  <si>
    <t xml:space="preserve">Data protection officer service</t>
  </si>
  <si>
    <t xml:space="preserve">Total annual fees</t>
  </si>
  <si>
    <t xml:space="preserve">Annual fee uplift</t>
  </si>
  <si>
    <t xml:space="preserve">Risk reduction</t>
  </si>
  <si>
    <t xml:space="preserve">Share of risk removed with provider support</t>
  </si>
  <si>
    <t xml:space="preserve">Assumes high-risk actions are closed with specialist advice and tracked in a dashboard.</t>
  </si>
  <si>
    <t xml:space="preserve">Share of risk removed with an in-house approach</t>
  </si>
  <si>
    <t xml:space="preserve">Lower than provider support: less specialist knowledge and no external audit.</t>
  </si>
  <si>
    <t xml:space="preserve">In-house option costs</t>
  </si>
  <si>
    <t xml:space="preserve">Compliance officer salary, fully loaded (£)</t>
  </si>
  <si>
    <t xml:space="preserve">Share of a full-time role needed</t>
  </si>
  <si>
    <t xml:space="preserve">Training and tools per year (£)</t>
  </si>
  <si>
    <t xml:space="preserve">Business manager time</t>
  </si>
  <si>
    <t xml:space="preserve">Hourly cost, fully loaded (£)</t>
  </si>
  <si>
    <t xml:space="preserve">Hours per month: keep provider</t>
  </si>
  <si>
    <t xml:space="preserve">Hours per month: in-house</t>
  </si>
  <si>
    <t xml:space="preserve">Hours per month: cancel with no replacement</t>
  </si>
  <si>
    <t xml:space="preserve">Chasing actions, finding guidance and responding to incidents without support.</t>
  </si>
  <si>
    <t xml:space="preserve">action_id</t>
  </si>
  <si>
    <t xml:space="preserve">school</t>
  </si>
  <si>
    <t xml:space="preserve">service_area</t>
  </si>
  <si>
    <t xml:space="preserve">action</t>
  </si>
  <si>
    <t xml:space="preserve">risk_rating</t>
  </si>
  <si>
    <t xml:space="preserve">days_overdue</t>
  </si>
  <si>
    <t xml:space="preserve">owner_assigned</t>
  </si>
  <si>
    <t xml:space="preserve">Prob. conservative</t>
  </si>
  <si>
    <t xml:space="preserve">Prob. expected</t>
  </si>
  <si>
    <t xml:space="preserve">Prob. high</t>
  </si>
  <si>
    <t xml:space="preserve">Expected loss conservative (£)</t>
  </si>
  <si>
    <t xml:space="preserve">Expected loss expected (£)</t>
  </si>
  <si>
    <t xml:space="preserve">Expected loss high (£)</t>
  </si>
  <si>
    <t xml:space="preserve">Expected loss selected (£)</t>
  </si>
  <si>
    <t xml:space="preserve">FS-01</t>
  </si>
  <si>
    <t xml:space="preserve">Ashgrove Primary</t>
  </si>
  <si>
    <t xml:space="preserve">Fire door self-closers missing on two classroom doors</t>
  </si>
  <si>
    <t xml:space="preserve">No</t>
  </si>
  <si>
    <t xml:space="preserve">FS-02</t>
  </si>
  <si>
    <t xml:space="preserve">Beacon Hill Academy</t>
  </si>
  <si>
    <t xml:space="preserve">Fire risk assessment overdue for review</t>
  </si>
  <si>
    <t xml:space="preserve">FS-03</t>
  </si>
  <si>
    <t xml:space="preserve">Danbury Secondary</t>
  </si>
  <si>
    <t xml:space="preserve">Fire door intumescent strips damaged in science block</t>
  </si>
  <si>
    <t xml:space="preserve">FS-04</t>
  </si>
  <si>
    <t xml:space="preserve">Fernwood Academy</t>
  </si>
  <si>
    <t xml:space="preserve">Emergency lighting test records incomplete</t>
  </si>
  <si>
    <t xml:space="preserve">Yes</t>
  </si>
  <si>
    <t xml:space="preserve">FS-05</t>
  </si>
  <si>
    <t xml:space="preserve">Cedar Vale Primary</t>
  </si>
  <si>
    <t xml:space="preserve">Fire drill not logged for spring term</t>
  </si>
  <si>
    <t xml:space="preserve">FS-06</t>
  </si>
  <si>
    <t xml:space="preserve">Elmfield Primary</t>
  </si>
  <si>
    <t xml:space="preserve">Evacuation plan for wheelchair user not documented</t>
  </si>
  <si>
    <t xml:space="preserve">HS-01</t>
  </si>
  <si>
    <t xml:space="preserve">Asbestos management plan not updated after works</t>
  </si>
  <si>
    <t xml:space="preserve">HS-02</t>
  </si>
  <si>
    <t xml:space="preserve">Legionella water temperature checks not recorded</t>
  </si>
  <si>
    <t xml:space="preserve">HS-03</t>
  </si>
  <si>
    <t xml:space="preserve">DT workshop machinery guarding inspection overdue</t>
  </si>
  <si>
    <t xml:space="preserve">HS-04</t>
  </si>
  <si>
    <t xml:space="preserve">Playground equipment annual inspection overdue</t>
  </si>
  <si>
    <t xml:space="preserve">HS-05</t>
  </si>
  <si>
    <t xml:space="preserve">COSHH assessments missing for cleaning products</t>
  </si>
  <si>
    <t xml:space="preserve">HS-06</t>
  </si>
  <si>
    <t xml:space="preserve">Accident reporting process not shared with new staff</t>
  </si>
  <si>
    <t xml:space="preserve">DP-01</t>
  </si>
  <si>
    <t xml:space="preserve">Subject access request responded to late</t>
  </si>
  <si>
    <t xml:space="preserve">DP-02</t>
  </si>
  <si>
    <t xml:space="preserve">No DPIA for new CCTV system</t>
  </si>
  <si>
    <t xml:space="preserve">DP-03</t>
  </si>
  <si>
    <t xml:space="preserve">Records of processing not updated</t>
  </si>
  <si>
    <t xml:space="preserve">DP-04</t>
  </si>
  <si>
    <t xml:space="preserve">Staff data protection training lapsed</t>
  </si>
  <si>
    <t xml:space="preserve">DP-05</t>
  </si>
  <si>
    <t xml:space="preserve">Retention schedule not applied to pupil records</t>
  </si>
  <si>
    <t xml:space="preserve">DP-06</t>
  </si>
  <si>
    <t xml:space="preserve">Supplier data processing agreements missing</t>
  </si>
  <si>
    <t xml:space="preserve">Total</t>
  </si>
  <si>
    <t xml:space="preserve">Source: fictional dataset (data/outstanding_actions.csv). Expected loss = probability of enforcement x impact, assuming the action stays unresolved for 12 months.</t>
  </si>
  <si>
    <t xml:space="preserve">Three-year cost of each option (selected scenario)</t>
  </si>
  <si>
    <t xml:space="preserve">Year 1</t>
  </si>
  <si>
    <t xml:space="preserve">Year 2</t>
  </si>
  <si>
    <t xml:space="preserve">Year 3</t>
  </si>
  <si>
    <t xml:space="preserve">Risk exposure if actions stay unresolved (per year)</t>
  </si>
  <si>
    <t xml:space="preserve">Option A: keep provider support</t>
  </si>
  <si>
    <t xml:space="preserve">Service fees</t>
  </si>
  <si>
    <t xml:space="preserve">Residual risk exposure</t>
  </si>
  <si>
    <t xml:space="preserve">Total cost</t>
  </si>
  <si>
    <t xml:space="preserve">Option B: bring compliance in-house</t>
  </si>
  <si>
    <t xml:space="preserve">Staff cost</t>
  </si>
  <si>
    <t xml:space="preserve">Training and tools</t>
  </si>
  <si>
    <t xml:space="preserve">Option C: cancel with no replacement</t>
  </si>
  <si>
    <t xml:space="preserve">Risk exposure is an expected value (probability x impact), not a cash cost. It shows what the trust is carrying if actions stay open.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</si>
</sst>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;&quot;(£&quot;#,##0\);\-"/>
    <numFmt numFmtId="166" formatCode="0.0\x"/>
    <numFmt numFmtId="167" formatCode="0.0%;\(0.0%\);\-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4EE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26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/>
    </row>
    <row r="14" customFormat="false" ht="22.3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5" t="s">
        <v>11</v>
      </c>
      <c r="B1" s="6"/>
      <c r="C1" s="6"/>
      <c r="D1" s="6"/>
    </row>
    <row r="2" customFormat="false" ht="15" hidden="false" customHeight="false" outlineLevel="0" collapsed="false">
      <c r="A2" s="6"/>
      <c r="B2" s="6"/>
      <c r="C2" s="6"/>
      <c r="D2" s="6"/>
    </row>
    <row r="3" customFormat="false" ht="15" hidden="false" customHeight="false" outlineLevel="0" collapsed="false">
      <c r="A3" s="7" t="s">
        <v>12</v>
      </c>
      <c r="B3" s="6"/>
      <c r="C3" s="6"/>
      <c r="D3" s="6"/>
    </row>
    <row r="4" customFormat="false" ht="15" hidden="false" customHeight="false" outlineLevel="0" collapsed="false">
      <c r="A4" s="6" t="s">
        <v>13</v>
      </c>
      <c r="B4" s="6" t="n">
        <f aca="false">COUNTA(Actions!A2:A19)</f>
        <v>18</v>
      </c>
      <c r="C4" s="6"/>
      <c r="D4" s="6"/>
    </row>
    <row r="5" customFormat="false" ht="15" hidden="false" customHeight="false" outlineLevel="0" collapsed="false">
      <c r="A5" s="6" t="s">
        <v>14</v>
      </c>
      <c r="B5" s="6" t="n">
        <f aca="false">COUNTIF(Actions!E2:E19,"High")</f>
        <v>8</v>
      </c>
      <c r="C5" s="6"/>
      <c r="D5" s="6"/>
    </row>
    <row r="6" customFormat="false" ht="15" hidden="false" customHeight="false" outlineLevel="0" collapsed="false">
      <c r="A6" s="6" t="s">
        <v>15</v>
      </c>
      <c r="B6" s="6" t="n">
        <f aca="false">COUNTIF(Actions!G2:G19,"No")</f>
        <v>14</v>
      </c>
      <c r="C6" s="6"/>
      <c r="D6" s="6"/>
    </row>
    <row r="7" customFormat="false" ht="15" hidden="false" customHeight="false" outlineLevel="0" collapsed="false">
      <c r="A7" s="6"/>
      <c r="B7" s="6"/>
      <c r="C7" s="6"/>
      <c r="D7" s="6"/>
    </row>
    <row r="8" customFormat="false" ht="15" hidden="false" customHeight="false" outlineLevel="0" collapsed="false">
      <c r="A8" s="7" t="s">
        <v>16</v>
      </c>
      <c r="B8" s="6"/>
      <c r="C8" s="6"/>
      <c r="D8" s="6"/>
    </row>
    <row r="9" customFormat="false" ht="15" hidden="false" customHeight="false" outlineLevel="0" collapsed="false">
      <c r="A9" s="8"/>
      <c r="B9" s="8" t="s">
        <v>17</v>
      </c>
      <c r="C9" s="8" t="s">
        <v>18</v>
      </c>
      <c r="D9" s="8" t="s">
        <v>19</v>
      </c>
    </row>
    <row r="10" customFormat="false" ht="15" hidden="false" customHeight="false" outlineLevel="0" collapsed="false">
      <c r="A10" s="6" t="s">
        <v>20</v>
      </c>
      <c r="B10" s="9" t="n">
        <f aca="false">Actions!L20</f>
        <v>8075</v>
      </c>
      <c r="C10" s="9" t="n">
        <f aca="false">Actions!M20</f>
        <v>20925</v>
      </c>
      <c r="D10" s="9" t="n">
        <f aca="false">Actions!N20</f>
        <v>42175</v>
      </c>
    </row>
    <row r="11" customFormat="false" ht="15" hidden="false" customHeight="false" outlineLevel="0" collapsed="false">
      <c r="A11" s="6" t="s">
        <v>21</v>
      </c>
      <c r="B11" s="9" t="n">
        <f aca="false">Inputs!$B$21</f>
        <v>11000</v>
      </c>
      <c r="C11" s="9" t="n">
        <f aca="false">Inputs!$B$21</f>
        <v>11000</v>
      </c>
      <c r="D11" s="9" t="n">
        <f aca="false">Inputs!$B$21</f>
        <v>11000</v>
      </c>
    </row>
    <row r="12" customFormat="false" ht="15" hidden="false" customHeight="false" outlineLevel="0" collapsed="false">
      <c r="A12" s="6" t="s">
        <v>22</v>
      </c>
      <c r="B12" s="10" t="n">
        <f aca="false">IFERROR(B10/B11,0)</f>
        <v>0.734090909090909</v>
      </c>
      <c r="C12" s="10" t="n">
        <f aca="false">IFERROR(C10/C11,0)</f>
        <v>1.90227272727273</v>
      </c>
      <c r="D12" s="10" t="n">
        <f aca="false">IFERROR(D10/D11,0)</f>
        <v>3.83409090909091</v>
      </c>
    </row>
    <row r="13" customFormat="false" ht="15" hidden="false" customHeight="false" outlineLevel="0" collapsed="false">
      <c r="A13" s="6" t="s">
        <v>23</v>
      </c>
      <c r="B13" s="11" t="n">
        <f aca="false">IFERROR((B10*Inputs!$B$25+Inputs!$B$34*(Inputs!$B$37-Inputs!$B$35)*12-Inputs!$B$21)/Inputs!$B$21,0)</f>
        <v>-0.183636363636364</v>
      </c>
      <c r="C13" s="11" t="n">
        <f aca="false">IFERROR((C10*Inputs!$B$25+Inputs!$B$34*(Inputs!$B$37-Inputs!$B$35)*12-Inputs!$B$21)/Inputs!$B$21,0)</f>
        <v>0.750909090909091</v>
      </c>
      <c r="D13" s="11" t="n">
        <f aca="false">IFERROR((D10*Inputs!$B$25+Inputs!$B$34*(Inputs!$B$37-Inputs!$B$35)*12-Inputs!$B$21)/Inputs!$B$21,0)</f>
        <v>2.29636363636364</v>
      </c>
    </row>
    <row r="14" customFormat="false" ht="15" hidden="false" customHeight="false" outlineLevel="0" collapsed="false">
      <c r="A14" s="6"/>
      <c r="B14" s="6"/>
      <c r="C14" s="6"/>
      <c r="D14" s="6"/>
    </row>
    <row r="15" customFormat="false" ht="15" hidden="false" customHeight="false" outlineLevel="0" collapsed="false">
      <c r="A15" s="7" t="s">
        <v>24</v>
      </c>
      <c r="B15" s="6"/>
      <c r="C15" s="6"/>
      <c r="D15" s="6"/>
    </row>
    <row r="16" customFormat="false" ht="15" hidden="false" customHeight="false" outlineLevel="0" collapsed="false">
      <c r="A16" s="8" t="s">
        <v>25</v>
      </c>
      <c r="B16" s="8" t="s">
        <v>26</v>
      </c>
      <c r="C16" s="8" t="s">
        <v>27</v>
      </c>
      <c r="D16" s="6"/>
    </row>
    <row r="17" customFormat="false" ht="15" hidden="false" customHeight="false" outlineLevel="0" collapsed="false">
      <c r="A17" s="6" t="s">
        <v>28</v>
      </c>
      <c r="B17" s="9" t="n">
        <f aca="false">Options_3yr!E10</f>
        <v>49074.9</v>
      </c>
      <c r="C17" s="12" t="n">
        <f aca="false">B17-$B$17</f>
        <v>0</v>
      </c>
      <c r="D17" s="6"/>
    </row>
    <row r="18" customFormat="false" ht="15" hidden="false" customHeight="false" outlineLevel="0" collapsed="false">
      <c r="A18" s="6" t="s">
        <v>29</v>
      </c>
      <c r="B18" s="9" t="n">
        <f aca="false">Options_3yr!E17</f>
        <v>103267.5</v>
      </c>
      <c r="C18" s="12" t="n">
        <f aca="false">B18-$B$17</f>
        <v>54192.6</v>
      </c>
      <c r="D18" s="6"/>
    </row>
    <row r="19" customFormat="false" ht="15" hidden="false" customHeight="false" outlineLevel="0" collapsed="false">
      <c r="A19" s="6" t="s">
        <v>30</v>
      </c>
      <c r="B19" s="9" t="n">
        <f aca="false">Options_3yr!E22</f>
        <v>72855</v>
      </c>
      <c r="C19" s="12" t="n">
        <f aca="false">B19-$B$17</f>
        <v>23780.1</v>
      </c>
      <c r="D19" s="6"/>
    </row>
    <row r="20" customFormat="false" ht="15" hidden="false" customHeight="false" outlineLevel="0" collapsed="false">
      <c r="A20" s="6"/>
      <c r="B20" s="6"/>
      <c r="C20" s="6"/>
      <c r="D20" s="6"/>
    </row>
    <row r="21" customFormat="false" ht="15" hidden="false" customHeight="false" outlineLevel="0" collapsed="false">
      <c r="A21" s="6" t="s">
        <v>31</v>
      </c>
      <c r="B21" s="13" t="n">
        <f aca="false">IFERROR(Inputs!$B$21/((CHOOSE(Inputs!$B$3,B10,C10,D10)*Inputs!$B$25+Inputs!$B$34*(Inputs!$B$37-Inputs!$B$35)*12)/12),0)</f>
        <v>6.85358255451713</v>
      </c>
      <c r="C21" s="6"/>
      <c r="D21" s="6"/>
    </row>
    <row r="22" customFormat="false" ht="15" hidden="false" customHeight="false" outlineLevel="0" collapsed="false">
      <c r="A22" s="6"/>
      <c r="B22" s="6"/>
      <c r="C22" s="6"/>
      <c r="D22" s="6"/>
    </row>
    <row r="23" customFormat="false" ht="15" hidden="false" customHeight="false" outlineLevel="0" collapsed="false">
      <c r="A23" s="14" t="s">
        <v>32</v>
      </c>
      <c r="B23" s="6"/>
      <c r="C23" s="6"/>
      <c r="D23" s="6"/>
    </row>
    <row r="24" customFormat="false" ht="15" hidden="false" customHeight="false" outlineLevel="0" collapsed="false">
      <c r="A24" s="14" t="s">
        <v>33</v>
      </c>
      <c r="B24" s="6"/>
      <c r="C24" s="6"/>
      <c r="D2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5" t="s">
        <v>34</v>
      </c>
      <c r="B1" s="6"/>
      <c r="C1" s="6"/>
      <c r="D1" s="6"/>
      <c r="E1" s="6"/>
    </row>
    <row r="2" customFormat="false" ht="15" hidden="false" customHeight="false" outlineLevel="0" collapsed="false">
      <c r="A2" s="6"/>
      <c r="B2" s="6"/>
      <c r="C2" s="6"/>
      <c r="D2" s="6"/>
      <c r="E2" s="6"/>
    </row>
    <row r="3" customFormat="false" ht="15" hidden="false" customHeight="false" outlineLevel="0" collapsed="false">
      <c r="A3" s="6" t="s">
        <v>35</v>
      </c>
      <c r="B3" s="15" t="n">
        <v>2</v>
      </c>
      <c r="C3" s="6" t="s">
        <v>36</v>
      </c>
      <c r="D3" s="6"/>
      <c r="E3" s="6"/>
    </row>
    <row r="4" customFormat="false" ht="15" hidden="false" customHeight="false" outlineLevel="0" collapsed="false">
      <c r="A4" s="6"/>
      <c r="B4" s="6"/>
      <c r="C4" s="6"/>
      <c r="D4" s="6"/>
      <c r="E4" s="6"/>
    </row>
    <row r="5" customFormat="false" ht="15" hidden="false" customHeight="false" outlineLevel="0" collapsed="false">
      <c r="A5" s="7" t="s">
        <v>37</v>
      </c>
      <c r="B5" s="6"/>
      <c r="C5" s="6"/>
      <c r="D5" s="6"/>
      <c r="E5" s="6"/>
    </row>
    <row r="6" customFormat="false" ht="15" hidden="false" customHeight="false" outlineLevel="0" collapsed="false">
      <c r="A6" s="8" t="s">
        <v>38</v>
      </c>
      <c r="B6" s="8" t="s">
        <v>17</v>
      </c>
      <c r="C6" s="8" t="s">
        <v>18</v>
      </c>
      <c r="D6" s="8" t="s">
        <v>19</v>
      </c>
      <c r="E6" s="6"/>
    </row>
    <row r="7" customFormat="false" ht="15" hidden="false" customHeight="false" outlineLevel="0" collapsed="false">
      <c r="A7" s="6" t="s">
        <v>19</v>
      </c>
      <c r="B7" s="16" t="n">
        <v>0.02</v>
      </c>
      <c r="C7" s="16" t="n">
        <v>0.05</v>
      </c>
      <c r="D7" s="16" t="n">
        <v>0.1</v>
      </c>
      <c r="E7" s="6" t="s">
        <v>39</v>
      </c>
    </row>
    <row r="8" customFormat="false" ht="15" hidden="false" customHeight="false" outlineLevel="0" collapsed="false">
      <c r="A8" s="6" t="s">
        <v>40</v>
      </c>
      <c r="B8" s="16" t="n">
        <v>0.005</v>
      </c>
      <c r="C8" s="16" t="n">
        <v>0.015</v>
      </c>
      <c r="D8" s="16" t="n">
        <v>0.03</v>
      </c>
      <c r="E8" s="6"/>
    </row>
    <row r="9" customFormat="false" ht="15" hidden="false" customHeight="false" outlineLevel="0" collapsed="false">
      <c r="A9" s="6" t="s">
        <v>41</v>
      </c>
      <c r="B9" s="16" t="n">
        <v>0</v>
      </c>
      <c r="C9" s="16" t="n">
        <v>0</v>
      </c>
      <c r="D9" s="16" t="n">
        <v>0.005</v>
      </c>
      <c r="E9" s="6"/>
    </row>
    <row r="10" customFormat="false" ht="15" hidden="false" customHeight="false" outlineLevel="0" collapsed="false">
      <c r="A10" s="6"/>
      <c r="B10" s="6"/>
      <c r="C10" s="6"/>
      <c r="D10" s="6"/>
      <c r="E10" s="6"/>
    </row>
    <row r="11" customFormat="false" ht="15" hidden="false" customHeight="false" outlineLevel="0" collapsed="false">
      <c r="A11" s="7" t="s">
        <v>42</v>
      </c>
      <c r="B11" s="6"/>
      <c r="C11" s="6"/>
      <c r="D11" s="6"/>
      <c r="E11" s="6"/>
    </row>
    <row r="12" customFormat="false" ht="15" hidden="false" customHeight="false" outlineLevel="0" collapsed="false">
      <c r="A12" s="8" t="s">
        <v>43</v>
      </c>
      <c r="B12" s="8" t="s">
        <v>44</v>
      </c>
      <c r="C12" s="6"/>
      <c r="D12" s="6"/>
      <c r="E12" s="6"/>
    </row>
    <row r="13" customFormat="false" ht="15" hidden="false" customHeight="false" outlineLevel="0" collapsed="false">
      <c r="A13" s="6" t="s">
        <v>45</v>
      </c>
      <c r="B13" s="17" t="n">
        <v>50000</v>
      </c>
      <c r="C13" s="6" t="s">
        <v>46</v>
      </c>
      <c r="D13" s="6"/>
      <c r="E13" s="6"/>
    </row>
    <row r="14" customFormat="false" ht="15" hidden="false" customHeight="false" outlineLevel="0" collapsed="false">
      <c r="A14" s="6" t="s">
        <v>47</v>
      </c>
      <c r="B14" s="17" t="n">
        <v>40000</v>
      </c>
      <c r="C14" s="6"/>
      <c r="D14" s="6"/>
      <c r="E14" s="6"/>
    </row>
    <row r="15" customFormat="false" ht="15" hidden="false" customHeight="false" outlineLevel="0" collapsed="false">
      <c r="A15" s="6" t="s">
        <v>48</v>
      </c>
      <c r="B15" s="17" t="n">
        <v>25000</v>
      </c>
      <c r="C15" s="6"/>
      <c r="D15" s="6"/>
      <c r="E15" s="6"/>
    </row>
    <row r="16" customFormat="false" ht="15" hidden="false" customHeight="false" outlineLevel="0" collapsed="false">
      <c r="A16" s="6"/>
      <c r="B16" s="6"/>
      <c r="C16" s="6"/>
      <c r="D16" s="6"/>
      <c r="E16" s="6"/>
    </row>
    <row r="17" customFormat="false" ht="15" hidden="false" customHeight="false" outlineLevel="0" collapsed="false">
      <c r="A17" s="7" t="s">
        <v>49</v>
      </c>
      <c r="B17" s="6"/>
      <c r="C17" s="6"/>
      <c r="D17" s="6"/>
      <c r="E17" s="6"/>
    </row>
    <row r="18" customFormat="false" ht="15" hidden="false" customHeight="false" outlineLevel="0" collapsed="false">
      <c r="A18" s="6" t="s">
        <v>50</v>
      </c>
      <c r="B18" s="18" t="n">
        <v>3500</v>
      </c>
      <c r="C18" s="6"/>
      <c r="D18" s="6"/>
      <c r="E18" s="6"/>
    </row>
    <row r="19" customFormat="false" ht="15" hidden="false" customHeight="false" outlineLevel="0" collapsed="false">
      <c r="A19" s="6" t="s">
        <v>51</v>
      </c>
      <c r="B19" s="18" t="n">
        <v>4500</v>
      </c>
      <c r="C19" s="6"/>
      <c r="D19" s="6"/>
      <c r="E19" s="6"/>
    </row>
    <row r="20" customFormat="false" ht="15" hidden="false" customHeight="false" outlineLevel="0" collapsed="false">
      <c r="A20" s="6" t="s">
        <v>52</v>
      </c>
      <c r="B20" s="18" t="n">
        <v>3000</v>
      </c>
      <c r="C20" s="6"/>
      <c r="D20" s="6"/>
      <c r="E20" s="6"/>
    </row>
    <row r="21" customFormat="false" ht="15" hidden="false" customHeight="false" outlineLevel="0" collapsed="false">
      <c r="A21" s="7" t="s">
        <v>53</v>
      </c>
      <c r="B21" s="12" t="n">
        <f aca="false">SUM(B18:B20)</f>
        <v>11000</v>
      </c>
      <c r="C21" s="6"/>
      <c r="D21" s="6"/>
      <c r="E21" s="6"/>
    </row>
    <row r="22" customFormat="false" ht="15" hidden="false" customHeight="false" outlineLevel="0" collapsed="false">
      <c r="A22" s="6" t="s">
        <v>54</v>
      </c>
      <c r="B22" s="19" t="n">
        <v>0.03</v>
      </c>
      <c r="C22" s="6"/>
      <c r="D22" s="6"/>
      <c r="E22" s="6"/>
    </row>
    <row r="23" customFormat="false" ht="15" hidden="false" customHeight="false" outlineLevel="0" collapsed="false">
      <c r="A23" s="6"/>
      <c r="B23" s="6"/>
      <c r="C23" s="6"/>
      <c r="D23" s="6"/>
      <c r="E23" s="6"/>
    </row>
    <row r="24" customFormat="false" ht="15" hidden="false" customHeight="false" outlineLevel="0" collapsed="false">
      <c r="A24" s="7" t="s">
        <v>55</v>
      </c>
      <c r="B24" s="6"/>
      <c r="C24" s="6"/>
      <c r="D24" s="6"/>
      <c r="E24" s="6"/>
    </row>
    <row r="25" customFormat="false" ht="15" hidden="false" customHeight="false" outlineLevel="0" collapsed="false">
      <c r="A25" s="6" t="s">
        <v>56</v>
      </c>
      <c r="B25" s="16" t="n">
        <v>0.8</v>
      </c>
      <c r="C25" s="6" t="s">
        <v>57</v>
      </c>
      <c r="D25" s="6"/>
      <c r="E25" s="6"/>
    </row>
    <row r="26" customFormat="false" ht="15" hidden="false" customHeight="false" outlineLevel="0" collapsed="false">
      <c r="A26" s="6" t="s">
        <v>58</v>
      </c>
      <c r="B26" s="16" t="n">
        <v>0.5</v>
      </c>
      <c r="C26" s="6" t="s">
        <v>59</v>
      </c>
      <c r="D26" s="6"/>
      <c r="E26" s="6"/>
    </row>
    <row r="27" customFormat="false" ht="15" hidden="false" customHeight="false" outlineLevel="0" collapsed="false">
      <c r="A27" s="6"/>
      <c r="B27" s="6"/>
      <c r="C27" s="6"/>
      <c r="D27" s="6"/>
      <c r="E27" s="6"/>
    </row>
    <row r="28" customFormat="false" ht="15" hidden="false" customHeight="false" outlineLevel="0" collapsed="false">
      <c r="A28" s="7" t="s">
        <v>60</v>
      </c>
      <c r="B28" s="6"/>
      <c r="C28" s="6"/>
      <c r="D28" s="6"/>
      <c r="E28" s="6"/>
    </row>
    <row r="29" customFormat="false" ht="15" hidden="false" customHeight="false" outlineLevel="0" collapsed="false">
      <c r="A29" s="6" t="s">
        <v>61</v>
      </c>
      <c r="B29" s="18" t="n">
        <v>48000</v>
      </c>
      <c r="C29" s="6"/>
      <c r="D29" s="6"/>
      <c r="E29" s="6"/>
    </row>
    <row r="30" customFormat="false" ht="15" hidden="false" customHeight="false" outlineLevel="0" collapsed="false">
      <c r="A30" s="6" t="s">
        <v>62</v>
      </c>
      <c r="B30" s="19" t="n">
        <v>0.4</v>
      </c>
      <c r="C30" s="6"/>
      <c r="D30" s="6"/>
      <c r="E30" s="6"/>
    </row>
    <row r="31" customFormat="false" ht="15" hidden="false" customHeight="false" outlineLevel="0" collapsed="false">
      <c r="A31" s="6" t="s">
        <v>63</v>
      </c>
      <c r="B31" s="18" t="n">
        <v>3500</v>
      </c>
      <c r="C31" s="6"/>
      <c r="D31" s="6"/>
      <c r="E31" s="6"/>
    </row>
    <row r="32" customFormat="false" ht="15" hidden="false" customHeight="false" outlineLevel="0" collapsed="false">
      <c r="A32" s="6"/>
      <c r="B32" s="6"/>
      <c r="C32" s="6"/>
      <c r="D32" s="6"/>
      <c r="E32" s="6"/>
    </row>
    <row r="33" customFormat="false" ht="15" hidden="false" customHeight="false" outlineLevel="0" collapsed="false">
      <c r="A33" s="7" t="s">
        <v>64</v>
      </c>
      <c r="B33" s="6"/>
      <c r="C33" s="6"/>
      <c r="D33" s="6"/>
      <c r="E33" s="6"/>
    </row>
    <row r="34" customFormat="false" ht="15" hidden="false" customHeight="false" outlineLevel="0" collapsed="false">
      <c r="A34" s="6" t="s">
        <v>65</v>
      </c>
      <c r="B34" s="18" t="n">
        <v>35</v>
      </c>
      <c r="C34" s="6"/>
      <c r="D34" s="6"/>
      <c r="E34" s="6"/>
    </row>
    <row r="35" customFormat="false" ht="15" hidden="false" customHeight="false" outlineLevel="0" collapsed="false">
      <c r="A35" s="6" t="s">
        <v>66</v>
      </c>
      <c r="B35" s="20" t="n">
        <v>2</v>
      </c>
      <c r="C35" s="6"/>
      <c r="D35" s="6"/>
      <c r="E35" s="6"/>
    </row>
    <row r="36" customFormat="false" ht="15" hidden="false" customHeight="false" outlineLevel="0" collapsed="false">
      <c r="A36" s="6" t="s">
        <v>67</v>
      </c>
      <c r="B36" s="20" t="n">
        <v>3</v>
      </c>
      <c r="C36" s="6"/>
      <c r="D36" s="6"/>
      <c r="E36" s="6"/>
    </row>
    <row r="37" customFormat="false" ht="15" hidden="false" customHeight="false" outlineLevel="0" collapsed="false">
      <c r="A37" s="6" t="s">
        <v>68</v>
      </c>
      <c r="B37" s="20" t="n">
        <v>8</v>
      </c>
      <c r="C37" s="6" t="s">
        <v>69</v>
      </c>
      <c r="D37" s="6"/>
      <c r="E37" s="6"/>
    </row>
    <row r="38" customFormat="false" ht="15" hidden="false" customHeight="false" outlineLevel="0" collapsed="false">
      <c r="A38" s="6"/>
      <c r="B38" s="6"/>
      <c r="C38" s="6"/>
      <c r="D38" s="6"/>
      <c r="E38" s="6"/>
    </row>
    <row r="39" customFormat="false" ht="15" hidden="false" customHeight="false" outlineLevel="0" collapsed="false">
      <c r="A39" s="14" t="s">
        <v>33</v>
      </c>
      <c r="B39" s="6"/>
      <c r="C39" s="6"/>
      <c r="D39" s="6"/>
      <c r="E3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11" min="8" style="0" width="12"/>
    <col collapsed="false" customWidth="true" hidden="false" outlineLevel="0" max="15" min="12" style="0" width="15"/>
  </cols>
  <sheetData>
    <row r="1" customFormat="false" ht="39.55" hidden="false" customHeight="false" outlineLevel="0" collapsed="false">
      <c r="A1" s="21" t="s">
        <v>70</v>
      </c>
      <c r="B1" s="21" t="s">
        <v>71</v>
      </c>
      <c r="C1" s="21" t="s">
        <v>72</v>
      </c>
      <c r="D1" s="21" t="s">
        <v>73</v>
      </c>
      <c r="E1" s="21" t="s">
        <v>74</v>
      </c>
      <c r="F1" s="21" t="s">
        <v>75</v>
      </c>
      <c r="G1" s="21" t="s">
        <v>76</v>
      </c>
      <c r="H1" s="21" t="s">
        <v>77</v>
      </c>
      <c r="I1" s="21" t="s">
        <v>78</v>
      </c>
      <c r="J1" s="21" t="s">
        <v>79</v>
      </c>
      <c r="K1" s="21" t="s">
        <v>44</v>
      </c>
      <c r="L1" s="21" t="s">
        <v>80</v>
      </c>
      <c r="M1" s="21" t="s">
        <v>81</v>
      </c>
      <c r="N1" s="21" t="s">
        <v>82</v>
      </c>
      <c r="O1" s="21" t="s">
        <v>83</v>
      </c>
    </row>
    <row r="2" customFormat="false" ht="15" hidden="false" customHeight="false" outlineLevel="0" collapsed="false">
      <c r="A2" s="20" t="s">
        <v>84</v>
      </c>
      <c r="B2" s="20" t="s">
        <v>85</v>
      </c>
      <c r="C2" s="20" t="s">
        <v>45</v>
      </c>
      <c r="D2" s="20" t="s">
        <v>86</v>
      </c>
      <c r="E2" s="20" t="s">
        <v>19</v>
      </c>
      <c r="F2" s="20" t="n">
        <v>142</v>
      </c>
      <c r="G2" s="20" t="s">
        <v>87</v>
      </c>
      <c r="H2" s="22" t="n">
        <f aca="false">INDEX(Inputs!$B$7:$B$9,MATCH(E2,Inputs!$A$7:$A$9,0))</f>
        <v>0.02</v>
      </c>
      <c r="I2" s="22" t="n">
        <f aca="false">INDEX(Inputs!$C$7:$C$9,MATCH(E2,Inputs!$A$7:$A$9,0))</f>
        <v>0.05</v>
      </c>
      <c r="J2" s="22" t="n">
        <f aca="false">INDEX(Inputs!$D$7:$D$9,MATCH(E2,Inputs!$A$7:$A$9,0))</f>
        <v>0.1</v>
      </c>
      <c r="K2" s="9" t="n">
        <f aca="false">INDEX(Inputs!$B$13:$B$15,MATCH(C2,Inputs!$A$13:$A$15,0))</f>
        <v>50000</v>
      </c>
      <c r="L2" s="12" t="n">
        <f aca="false">H2*K2</f>
        <v>1000</v>
      </c>
      <c r="M2" s="12" t="n">
        <f aca="false">I2*K2</f>
        <v>2500</v>
      </c>
      <c r="N2" s="12" t="n">
        <f aca="false">J2*K2</f>
        <v>5000</v>
      </c>
      <c r="O2" s="12" t="n">
        <f aca="false">CHOOSE(Inputs!$B$3,L2,M2,N2)</f>
        <v>2500</v>
      </c>
    </row>
    <row r="3" customFormat="false" ht="15" hidden="false" customHeight="false" outlineLevel="0" collapsed="false">
      <c r="A3" s="20" t="s">
        <v>88</v>
      </c>
      <c r="B3" s="20" t="s">
        <v>89</v>
      </c>
      <c r="C3" s="20" t="s">
        <v>45</v>
      </c>
      <c r="D3" s="20" t="s">
        <v>90</v>
      </c>
      <c r="E3" s="20" t="s">
        <v>19</v>
      </c>
      <c r="F3" s="20" t="n">
        <v>95</v>
      </c>
      <c r="G3" s="20" t="s">
        <v>87</v>
      </c>
      <c r="H3" s="22" t="n">
        <f aca="false">INDEX(Inputs!$B$7:$B$9,MATCH(E3,Inputs!$A$7:$A$9,0))</f>
        <v>0.02</v>
      </c>
      <c r="I3" s="22" t="n">
        <f aca="false">INDEX(Inputs!$C$7:$C$9,MATCH(E3,Inputs!$A$7:$A$9,0))</f>
        <v>0.05</v>
      </c>
      <c r="J3" s="22" t="n">
        <f aca="false">INDEX(Inputs!$D$7:$D$9,MATCH(E3,Inputs!$A$7:$A$9,0))</f>
        <v>0.1</v>
      </c>
      <c r="K3" s="9" t="n">
        <f aca="false">INDEX(Inputs!$B$13:$B$15,MATCH(C3,Inputs!$A$13:$A$15,0))</f>
        <v>50000</v>
      </c>
      <c r="L3" s="12" t="n">
        <f aca="false">H3*K3</f>
        <v>1000</v>
      </c>
      <c r="M3" s="12" t="n">
        <f aca="false">I3*K3</f>
        <v>2500</v>
      </c>
      <c r="N3" s="12" t="n">
        <f aca="false">J3*K3</f>
        <v>5000</v>
      </c>
      <c r="O3" s="12" t="n">
        <f aca="false">CHOOSE(Inputs!$B$3,L3,M3,N3)</f>
        <v>2500</v>
      </c>
    </row>
    <row r="4" customFormat="false" ht="15" hidden="false" customHeight="false" outlineLevel="0" collapsed="false">
      <c r="A4" s="20" t="s">
        <v>91</v>
      </c>
      <c r="B4" s="20" t="s">
        <v>92</v>
      </c>
      <c r="C4" s="20" t="s">
        <v>45</v>
      </c>
      <c r="D4" s="20" t="s">
        <v>93</v>
      </c>
      <c r="E4" s="20" t="s">
        <v>19</v>
      </c>
      <c r="F4" s="20" t="n">
        <v>120</v>
      </c>
      <c r="G4" s="20" t="s">
        <v>87</v>
      </c>
      <c r="H4" s="22" t="n">
        <f aca="false">INDEX(Inputs!$B$7:$B$9,MATCH(E4,Inputs!$A$7:$A$9,0))</f>
        <v>0.02</v>
      </c>
      <c r="I4" s="22" t="n">
        <f aca="false">INDEX(Inputs!$C$7:$C$9,MATCH(E4,Inputs!$A$7:$A$9,0))</f>
        <v>0.05</v>
      </c>
      <c r="J4" s="22" t="n">
        <f aca="false">INDEX(Inputs!$D$7:$D$9,MATCH(E4,Inputs!$A$7:$A$9,0))</f>
        <v>0.1</v>
      </c>
      <c r="K4" s="9" t="n">
        <f aca="false">INDEX(Inputs!$B$13:$B$15,MATCH(C4,Inputs!$A$13:$A$15,0))</f>
        <v>50000</v>
      </c>
      <c r="L4" s="12" t="n">
        <f aca="false">H4*K4</f>
        <v>1000</v>
      </c>
      <c r="M4" s="12" t="n">
        <f aca="false">I4*K4</f>
        <v>2500</v>
      </c>
      <c r="N4" s="12" t="n">
        <f aca="false">J4*K4</f>
        <v>5000</v>
      </c>
      <c r="O4" s="12" t="n">
        <f aca="false">CHOOSE(Inputs!$B$3,L4,M4,N4)</f>
        <v>2500</v>
      </c>
    </row>
    <row r="5" customFormat="false" ht="15" hidden="false" customHeight="false" outlineLevel="0" collapsed="false">
      <c r="A5" s="20" t="s">
        <v>94</v>
      </c>
      <c r="B5" s="20" t="s">
        <v>95</v>
      </c>
      <c r="C5" s="20" t="s">
        <v>45</v>
      </c>
      <c r="D5" s="20" t="s">
        <v>96</v>
      </c>
      <c r="E5" s="20" t="s">
        <v>40</v>
      </c>
      <c r="F5" s="20" t="n">
        <v>60</v>
      </c>
      <c r="G5" s="20" t="s">
        <v>97</v>
      </c>
      <c r="H5" s="22" t="n">
        <f aca="false">INDEX(Inputs!$B$7:$B$9,MATCH(E5,Inputs!$A$7:$A$9,0))</f>
        <v>0.005</v>
      </c>
      <c r="I5" s="22" t="n">
        <f aca="false">INDEX(Inputs!$C$7:$C$9,MATCH(E5,Inputs!$A$7:$A$9,0))</f>
        <v>0.015</v>
      </c>
      <c r="J5" s="22" t="n">
        <f aca="false">INDEX(Inputs!$D$7:$D$9,MATCH(E5,Inputs!$A$7:$A$9,0))</f>
        <v>0.03</v>
      </c>
      <c r="K5" s="9" t="n">
        <f aca="false">INDEX(Inputs!$B$13:$B$15,MATCH(C5,Inputs!$A$13:$A$15,0))</f>
        <v>50000</v>
      </c>
      <c r="L5" s="12" t="n">
        <f aca="false">H5*K5</f>
        <v>250</v>
      </c>
      <c r="M5" s="12" t="n">
        <f aca="false">I5*K5</f>
        <v>750</v>
      </c>
      <c r="N5" s="12" t="n">
        <f aca="false">J5*K5</f>
        <v>1500</v>
      </c>
      <c r="O5" s="12" t="n">
        <f aca="false">CHOOSE(Inputs!$B$3,L5,M5,N5)</f>
        <v>750</v>
      </c>
    </row>
    <row r="6" customFormat="false" ht="15" hidden="false" customHeight="false" outlineLevel="0" collapsed="false">
      <c r="A6" s="20" t="s">
        <v>98</v>
      </c>
      <c r="B6" s="20" t="s">
        <v>99</v>
      </c>
      <c r="C6" s="20" t="s">
        <v>45</v>
      </c>
      <c r="D6" s="20" t="s">
        <v>100</v>
      </c>
      <c r="E6" s="20" t="s">
        <v>40</v>
      </c>
      <c r="F6" s="20" t="n">
        <v>45</v>
      </c>
      <c r="G6" s="20" t="s">
        <v>87</v>
      </c>
      <c r="H6" s="22" t="n">
        <f aca="false">INDEX(Inputs!$B$7:$B$9,MATCH(E6,Inputs!$A$7:$A$9,0))</f>
        <v>0.005</v>
      </c>
      <c r="I6" s="22" t="n">
        <f aca="false">INDEX(Inputs!$C$7:$C$9,MATCH(E6,Inputs!$A$7:$A$9,0))</f>
        <v>0.015</v>
      </c>
      <c r="J6" s="22" t="n">
        <f aca="false">INDEX(Inputs!$D$7:$D$9,MATCH(E6,Inputs!$A$7:$A$9,0))</f>
        <v>0.03</v>
      </c>
      <c r="K6" s="9" t="n">
        <f aca="false">INDEX(Inputs!$B$13:$B$15,MATCH(C6,Inputs!$A$13:$A$15,0))</f>
        <v>50000</v>
      </c>
      <c r="L6" s="12" t="n">
        <f aca="false">H6*K6</f>
        <v>250</v>
      </c>
      <c r="M6" s="12" t="n">
        <f aca="false">I6*K6</f>
        <v>750</v>
      </c>
      <c r="N6" s="12" t="n">
        <f aca="false">J6*K6</f>
        <v>1500</v>
      </c>
      <c r="O6" s="12" t="n">
        <f aca="false">CHOOSE(Inputs!$B$3,L6,M6,N6)</f>
        <v>750</v>
      </c>
    </row>
    <row r="7" customFormat="false" ht="15" hidden="false" customHeight="false" outlineLevel="0" collapsed="false">
      <c r="A7" s="20" t="s">
        <v>101</v>
      </c>
      <c r="B7" s="20" t="s">
        <v>102</v>
      </c>
      <c r="C7" s="20" t="s">
        <v>45</v>
      </c>
      <c r="D7" s="20" t="s">
        <v>103</v>
      </c>
      <c r="E7" s="20" t="s">
        <v>19</v>
      </c>
      <c r="F7" s="20" t="n">
        <v>80</v>
      </c>
      <c r="G7" s="20" t="s">
        <v>87</v>
      </c>
      <c r="H7" s="22" t="n">
        <f aca="false">INDEX(Inputs!$B$7:$B$9,MATCH(E7,Inputs!$A$7:$A$9,0))</f>
        <v>0.02</v>
      </c>
      <c r="I7" s="22" t="n">
        <f aca="false">INDEX(Inputs!$C$7:$C$9,MATCH(E7,Inputs!$A$7:$A$9,0))</f>
        <v>0.05</v>
      </c>
      <c r="J7" s="22" t="n">
        <f aca="false">INDEX(Inputs!$D$7:$D$9,MATCH(E7,Inputs!$A$7:$A$9,0))</f>
        <v>0.1</v>
      </c>
      <c r="K7" s="9" t="n">
        <f aca="false">INDEX(Inputs!$B$13:$B$15,MATCH(C7,Inputs!$A$13:$A$15,0))</f>
        <v>50000</v>
      </c>
      <c r="L7" s="12" t="n">
        <f aca="false">H7*K7</f>
        <v>1000</v>
      </c>
      <c r="M7" s="12" t="n">
        <f aca="false">I7*K7</f>
        <v>2500</v>
      </c>
      <c r="N7" s="12" t="n">
        <f aca="false">J7*K7</f>
        <v>5000</v>
      </c>
      <c r="O7" s="12" t="n">
        <f aca="false">CHOOSE(Inputs!$B$3,L7,M7,N7)</f>
        <v>2500</v>
      </c>
    </row>
    <row r="8" customFormat="false" ht="15" hidden="false" customHeight="false" outlineLevel="0" collapsed="false">
      <c r="A8" s="20" t="s">
        <v>104</v>
      </c>
      <c r="B8" s="20" t="s">
        <v>92</v>
      </c>
      <c r="C8" s="20" t="s">
        <v>47</v>
      </c>
      <c r="D8" s="20" t="s">
        <v>105</v>
      </c>
      <c r="E8" s="20" t="s">
        <v>19</v>
      </c>
      <c r="F8" s="20" t="n">
        <v>110</v>
      </c>
      <c r="G8" s="20" t="s">
        <v>87</v>
      </c>
      <c r="H8" s="22" t="n">
        <f aca="false">INDEX(Inputs!$B$7:$B$9,MATCH(E8,Inputs!$A$7:$A$9,0))</f>
        <v>0.02</v>
      </c>
      <c r="I8" s="22" t="n">
        <f aca="false">INDEX(Inputs!$C$7:$C$9,MATCH(E8,Inputs!$A$7:$A$9,0))</f>
        <v>0.05</v>
      </c>
      <c r="J8" s="22" t="n">
        <f aca="false">INDEX(Inputs!$D$7:$D$9,MATCH(E8,Inputs!$A$7:$A$9,0))</f>
        <v>0.1</v>
      </c>
      <c r="K8" s="9" t="n">
        <f aca="false">INDEX(Inputs!$B$13:$B$15,MATCH(C8,Inputs!$A$13:$A$15,0))</f>
        <v>40000</v>
      </c>
      <c r="L8" s="12" t="n">
        <f aca="false">H8*K8</f>
        <v>800</v>
      </c>
      <c r="M8" s="12" t="n">
        <f aca="false">I8*K8</f>
        <v>2000</v>
      </c>
      <c r="N8" s="12" t="n">
        <f aca="false">J8*K8</f>
        <v>4000</v>
      </c>
      <c r="O8" s="12" t="n">
        <f aca="false">CHOOSE(Inputs!$B$3,L8,M8,N8)</f>
        <v>2000</v>
      </c>
    </row>
    <row r="9" customFormat="false" ht="15" hidden="false" customHeight="false" outlineLevel="0" collapsed="false">
      <c r="A9" s="20" t="s">
        <v>106</v>
      </c>
      <c r="B9" s="20" t="s">
        <v>85</v>
      </c>
      <c r="C9" s="20" t="s">
        <v>47</v>
      </c>
      <c r="D9" s="20" t="s">
        <v>107</v>
      </c>
      <c r="E9" s="20" t="s">
        <v>19</v>
      </c>
      <c r="F9" s="20" t="n">
        <v>75</v>
      </c>
      <c r="G9" s="20" t="s">
        <v>87</v>
      </c>
      <c r="H9" s="22" t="n">
        <f aca="false">INDEX(Inputs!$B$7:$B$9,MATCH(E9,Inputs!$A$7:$A$9,0))</f>
        <v>0.02</v>
      </c>
      <c r="I9" s="22" t="n">
        <f aca="false">INDEX(Inputs!$C$7:$C$9,MATCH(E9,Inputs!$A$7:$A$9,0))</f>
        <v>0.05</v>
      </c>
      <c r="J9" s="22" t="n">
        <f aca="false">INDEX(Inputs!$D$7:$D$9,MATCH(E9,Inputs!$A$7:$A$9,0))</f>
        <v>0.1</v>
      </c>
      <c r="K9" s="9" t="n">
        <f aca="false">INDEX(Inputs!$B$13:$B$15,MATCH(C9,Inputs!$A$13:$A$15,0))</f>
        <v>40000</v>
      </c>
      <c r="L9" s="12" t="n">
        <f aca="false">H9*K9</f>
        <v>800</v>
      </c>
      <c r="M9" s="12" t="n">
        <f aca="false">I9*K9</f>
        <v>2000</v>
      </c>
      <c r="N9" s="12" t="n">
        <f aca="false">J9*K9</f>
        <v>4000</v>
      </c>
      <c r="O9" s="12" t="n">
        <f aca="false">CHOOSE(Inputs!$B$3,L9,M9,N9)</f>
        <v>2000</v>
      </c>
    </row>
    <row r="10" customFormat="false" ht="15" hidden="false" customHeight="false" outlineLevel="0" collapsed="false">
      <c r="A10" s="20" t="s">
        <v>108</v>
      </c>
      <c r="B10" s="20" t="s">
        <v>89</v>
      </c>
      <c r="C10" s="20" t="s">
        <v>47</v>
      </c>
      <c r="D10" s="20" t="s">
        <v>109</v>
      </c>
      <c r="E10" s="20" t="s">
        <v>40</v>
      </c>
      <c r="F10" s="20" t="n">
        <v>50</v>
      </c>
      <c r="G10" s="20" t="s">
        <v>97</v>
      </c>
      <c r="H10" s="22" t="n">
        <f aca="false">INDEX(Inputs!$B$7:$B$9,MATCH(E10,Inputs!$A$7:$A$9,0))</f>
        <v>0.005</v>
      </c>
      <c r="I10" s="22" t="n">
        <f aca="false">INDEX(Inputs!$C$7:$C$9,MATCH(E10,Inputs!$A$7:$A$9,0))</f>
        <v>0.015</v>
      </c>
      <c r="J10" s="22" t="n">
        <f aca="false">INDEX(Inputs!$D$7:$D$9,MATCH(E10,Inputs!$A$7:$A$9,0))</f>
        <v>0.03</v>
      </c>
      <c r="K10" s="9" t="n">
        <f aca="false">INDEX(Inputs!$B$13:$B$15,MATCH(C10,Inputs!$A$13:$A$15,0))</f>
        <v>40000</v>
      </c>
      <c r="L10" s="12" t="n">
        <f aca="false">H10*K10</f>
        <v>200</v>
      </c>
      <c r="M10" s="12" t="n">
        <f aca="false">I10*K10</f>
        <v>600</v>
      </c>
      <c r="N10" s="12" t="n">
        <f aca="false">J10*K10</f>
        <v>1200</v>
      </c>
      <c r="O10" s="12" t="n">
        <f aca="false">CHOOSE(Inputs!$B$3,L10,M10,N10)</f>
        <v>600</v>
      </c>
    </row>
    <row r="11" customFormat="false" ht="15" hidden="false" customHeight="false" outlineLevel="0" collapsed="false">
      <c r="A11" s="20" t="s">
        <v>110</v>
      </c>
      <c r="B11" s="20" t="s">
        <v>102</v>
      </c>
      <c r="C11" s="20" t="s">
        <v>47</v>
      </c>
      <c r="D11" s="20" t="s">
        <v>111</v>
      </c>
      <c r="E11" s="20" t="s">
        <v>40</v>
      </c>
      <c r="F11" s="20" t="n">
        <v>40</v>
      </c>
      <c r="G11" s="20" t="s">
        <v>87</v>
      </c>
      <c r="H11" s="22" t="n">
        <f aca="false">INDEX(Inputs!$B$7:$B$9,MATCH(E11,Inputs!$A$7:$A$9,0))</f>
        <v>0.005</v>
      </c>
      <c r="I11" s="22" t="n">
        <f aca="false">INDEX(Inputs!$C$7:$C$9,MATCH(E11,Inputs!$A$7:$A$9,0))</f>
        <v>0.015</v>
      </c>
      <c r="J11" s="22" t="n">
        <f aca="false">INDEX(Inputs!$D$7:$D$9,MATCH(E11,Inputs!$A$7:$A$9,0))</f>
        <v>0.03</v>
      </c>
      <c r="K11" s="9" t="n">
        <f aca="false">INDEX(Inputs!$B$13:$B$15,MATCH(C11,Inputs!$A$13:$A$15,0))</f>
        <v>40000</v>
      </c>
      <c r="L11" s="12" t="n">
        <f aca="false">H11*K11</f>
        <v>200</v>
      </c>
      <c r="M11" s="12" t="n">
        <f aca="false">I11*K11</f>
        <v>600</v>
      </c>
      <c r="N11" s="12" t="n">
        <f aca="false">J11*K11</f>
        <v>1200</v>
      </c>
      <c r="O11" s="12" t="n">
        <f aca="false">CHOOSE(Inputs!$B$3,L11,M11,N11)</f>
        <v>600</v>
      </c>
    </row>
    <row r="12" customFormat="false" ht="15" hidden="false" customHeight="false" outlineLevel="0" collapsed="false">
      <c r="A12" s="20" t="s">
        <v>112</v>
      </c>
      <c r="B12" s="20" t="s">
        <v>95</v>
      </c>
      <c r="C12" s="20" t="s">
        <v>47</v>
      </c>
      <c r="D12" s="20" t="s">
        <v>113</v>
      </c>
      <c r="E12" s="20" t="s">
        <v>40</v>
      </c>
      <c r="F12" s="20" t="n">
        <v>65</v>
      </c>
      <c r="G12" s="20" t="s">
        <v>87</v>
      </c>
      <c r="H12" s="22" t="n">
        <f aca="false">INDEX(Inputs!$B$7:$B$9,MATCH(E12,Inputs!$A$7:$A$9,0))</f>
        <v>0.005</v>
      </c>
      <c r="I12" s="22" t="n">
        <f aca="false">INDEX(Inputs!$C$7:$C$9,MATCH(E12,Inputs!$A$7:$A$9,0))</f>
        <v>0.015</v>
      </c>
      <c r="J12" s="22" t="n">
        <f aca="false">INDEX(Inputs!$D$7:$D$9,MATCH(E12,Inputs!$A$7:$A$9,0))</f>
        <v>0.03</v>
      </c>
      <c r="K12" s="9" t="n">
        <f aca="false">INDEX(Inputs!$B$13:$B$15,MATCH(C12,Inputs!$A$13:$A$15,0))</f>
        <v>40000</v>
      </c>
      <c r="L12" s="12" t="n">
        <f aca="false">H12*K12</f>
        <v>200</v>
      </c>
      <c r="M12" s="12" t="n">
        <f aca="false">I12*K12</f>
        <v>600</v>
      </c>
      <c r="N12" s="12" t="n">
        <f aca="false">J12*K12</f>
        <v>1200</v>
      </c>
      <c r="O12" s="12" t="n">
        <f aca="false">CHOOSE(Inputs!$B$3,L12,M12,N12)</f>
        <v>600</v>
      </c>
    </row>
    <row r="13" customFormat="false" ht="15" hidden="false" customHeight="false" outlineLevel="0" collapsed="false">
      <c r="A13" s="20" t="s">
        <v>114</v>
      </c>
      <c r="B13" s="20" t="s">
        <v>99</v>
      </c>
      <c r="C13" s="20" t="s">
        <v>47</v>
      </c>
      <c r="D13" s="20" t="s">
        <v>115</v>
      </c>
      <c r="E13" s="20" t="s">
        <v>41</v>
      </c>
      <c r="F13" s="20" t="n">
        <v>30</v>
      </c>
      <c r="G13" s="20" t="s">
        <v>97</v>
      </c>
      <c r="H13" s="22" t="n">
        <f aca="false">INDEX(Inputs!$B$7:$B$9,MATCH(E13,Inputs!$A$7:$A$9,0))</f>
        <v>0</v>
      </c>
      <c r="I13" s="22" t="n">
        <f aca="false">INDEX(Inputs!$C$7:$C$9,MATCH(E13,Inputs!$A$7:$A$9,0))</f>
        <v>0</v>
      </c>
      <c r="J13" s="22" t="n">
        <f aca="false">INDEX(Inputs!$D$7:$D$9,MATCH(E13,Inputs!$A$7:$A$9,0))</f>
        <v>0.005</v>
      </c>
      <c r="K13" s="9" t="n">
        <f aca="false">INDEX(Inputs!$B$13:$B$15,MATCH(C13,Inputs!$A$13:$A$15,0))</f>
        <v>40000</v>
      </c>
      <c r="L13" s="12" t="n">
        <f aca="false">H13*K13</f>
        <v>0</v>
      </c>
      <c r="M13" s="12" t="n">
        <f aca="false">I13*K13</f>
        <v>0</v>
      </c>
      <c r="N13" s="12" t="n">
        <f aca="false">J13*K13</f>
        <v>200</v>
      </c>
      <c r="O13" s="12" t="n">
        <f aca="false">CHOOSE(Inputs!$B$3,L13,M13,N13)</f>
        <v>0</v>
      </c>
    </row>
    <row r="14" customFormat="false" ht="15" hidden="false" customHeight="false" outlineLevel="0" collapsed="false">
      <c r="A14" s="20" t="s">
        <v>116</v>
      </c>
      <c r="B14" s="20" t="s">
        <v>89</v>
      </c>
      <c r="C14" s="20" t="s">
        <v>48</v>
      </c>
      <c r="D14" s="20" t="s">
        <v>117</v>
      </c>
      <c r="E14" s="20" t="s">
        <v>19</v>
      </c>
      <c r="F14" s="20" t="n">
        <v>35</v>
      </c>
      <c r="G14" s="20" t="s">
        <v>87</v>
      </c>
      <c r="H14" s="22" t="n">
        <f aca="false">INDEX(Inputs!$B$7:$B$9,MATCH(E14,Inputs!$A$7:$A$9,0))</f>
        <v>0.02</v>
      </c>
      <c r="I14" s="22" t="n">
        <f aca="false">INDEX(Inputs!$C$7:$C$9,MATCH(E14,Inputs!$A$7:$A$9,0))</f>
        <v>0.05</v>
      </c>
      <c r="J14" s="22" t="n">
        <f aca="false">INDEX(Inputs!$D$7:$D$9,MATCH(E14,Inputs!$A$7:$A$9,0))</f>
        <v>0.1</v>
      </c>
      <c r="K14" s="9" t="n">
        <f aca="false">INDEX(Inputs!$B$13:$B$15,MATCH(C14,Inputs!$A$13:$A$15,0))</f>
        <v>25000</v>
      </c>
      <c r="L14" s="12" t="n">
        <f aca="false">H14*K14</f>
        <v>500</v>
      </c>
      <c r="M14" s="12" t="n">
        <f aca="false">I14*K14</f>
        <v>1250</v>
      </c>
      <c r="N14" s="12" t="n">
        <f aca="false">J14*K14</f>
        <v>2500</v>
      </c>
      <c r="O14" s="12" t="n">
        <f aca="false">CHOOSE(Inputs!$B$3,L14,M14,N14)</f>
        <v>1250</v>
      </c>
    </row>
    <row r="15" customFormat="false" ht="15" hidden="false" customHeight="false" outlineLevel="0" collapsed="false">
      <c r="A15" s="20" t="s">
        <v>118</v>
      </c>
      <c r="B15" s="20" t="s">
        <v>92</v>
      </c>
      <c r="C15" s="20" t="s">
        <v>48</v>
      </c>
      <c r="D15" s="20" t="s">
        <v>119</v>
      </c>
      <c r="E15" s="20" t="s">
        <v>19</v>
      </c>
      <c r="F15" s="20" t="n">
        <v>90</v>
      </c>
      <c r="G15" s="20" t="s">
        <v>87</v>
      </c>
      <c r="H15" s="22" t="n">
        <f aca="false">INDEX(Inputs!$B$7:$B$9,MATCH(E15,Inputs!$A$7:$A$9,0))</f>
        <v>0.02</v>
      </c>
      <c r="I15" s="22" t="n">
        <f aca="false">INDEX(Inputs!$C$7:$C$9,MATCH(E15,Inputs!$A$7:$A$9,0))</f>
        <v>0.05</v>
      </c>
      <c r="J15" s="22" t="n">
        <f aca="false">INDEX(Inputs!$D$7:$D$9,MATCH(E15,Inputs!$A$7:$A$9,0))</f>
        <v>0.1</v>
      </c>
      <c r="K15" s="9" t="n">
        <f aca="false">INDEX(Inputs!$B$13:$B$15,MATCH(C15,Inputs!$A$13:$A$15,0))</f>
        <v>25000</v>
      </c>
      <c r="L15" s="12" t="n">
        <f aca="false">H15*K15</f>
        <v>500</v>
      </c>
      <c r="M15" s="12" t="n">
        <f aca="false">I15*K15</f>
        <v>1250</v>
      </c>
      <c r="N15" s="12" t="n">
        <f aca="false">J15*K15</f>
        <v>2500</v>
      </c>
      <c r="O15" s="12" t="n">
        <f aca="false">CHOOSE(Inputs!$B$3,L15,M15,N15)</f>
        <v>1250</v>
      </c>
    </row>
    <row r="16" customFormat="false" ht="15" hidden="false" customHeight="false" outlineLevel="0" collapsed="false">
      <c r="A16" s="20" t="s">
        <v>120</v>
      </c>
      <c r="B16" s="20" t="s">
        <v>85</v>
      </c>
      <c r="C16" s="20" t="s">
        <v>48</v>
      </c>
      <c r="D16" s="20" t="s">
        <v>121</v>
      </c>
      <c r="E16" s="20" t="s">
        <v>40</v>
      </c>
      <c r="F16" s="20" t="n">
        <v>120</v>
      </c>
      <c r="G16" s="20" t="s">
        <v>87</v>
      </c>
      <c r="H16" s="22" t="n">
        <f aca="false">INDEX(Inputs!$B$7:$B$9,MATCH(E16,Inputs!$A$7:$A$9,0))</f>
        <v>0.005</v>
      </c>
      <c r="I16" s="22" t="n">
        <f aca="false">INDEX(Inputs!$C$7:$C$9,MATCH(E16,Inputs!$A$7:$A$9,0))</f>
        <v>0.015</v>
      </c>
      <c r="J16" s="22" t="n">
        <f aca="false">INDEX(Inputs!$D$7:$D$9,MATCH(E16,Inputs!$A$7:$A$9,0))</f>
        <v>0.03</v>
      </c>
      <c r="K16" s="9" t="n">
        <f aca="false">INDEX(Inputs!$B$13:$B$15,MATCH(C16,Inputs!$A$13:$A$15,0))</f>
        <v>25000</v>
      </c>
      <c r="L16" s="12" t="n">
        <f aca="false">H16*K16</f>
        <v>125</v>
      </c>
      <c r="M16" s="12" t="n">
        <f aca="false">I16*K16</f>
        <v>375</v>
      </c>
      <c r="N16" s="12" t="n">
        <f aca="false">J16*K16</f>
        <v>750</v>
      </c>
      <c r="O16" s="12" t="n">
        <f aca="false">CHOOSE(Inputs!$B$3,L16,M16,N16)</f>
        <v>375</v>
      </c>
    </row>
    <row r="17" customFormat="false" ht="15" hidden="false" customHeight="false" outlineLevel="0" collapsed="false">
      <c r="A17" s="20" t="s">
        <v>122</v>
      </c>
      <c r="B17" s="20" t="s">
        <v>95</v>
      </c>
      <c r="C17" s="20" t="s">
        <v>48</v>
      </c>
      <c r="D17" s="20" t="s">
        <v>123</v>
      </c>
      <c r="E17" s="20" t="s">
        <v>40</v>
      </c>
      <c r="F17" s="20" t="n">
        <v>70</v>
      </c>
      <c r="G17" s="20" t="s">
        <v>87</v>
      </c>
      <c r="H17" s="22" t="n">
        <f aca="false">INDEX(Inputs!$B$7:$B$9,MATCH(E17,Inputs!$A$7:$A$9,0))</f>
        <v>0.005</v>
      </c>
      <c r="I17" s="22" t="n">
        <f aca="false">INDEX(Inputs!$C$7:$C$9,MATCH(E17,Inputs!$A$7:$A$9,0))</f>
        <v>0.015</v>
      </c>
      <c r="J17" s="22" t="n">
        <f aca="false">INDEX(Inputs!$D$7:$D$9,MATCH(E17,Inputs!$A$7:$A$9,0))</f>
        <v>0.03</v>
      </c>
      <c r="K17" s="9" t="n">
        <f aca="false">INDEX(Inputs!$B$13:$B$15,MATCH(C17,Inputs!$A$13:$A$15,0))</f>
        <v>25000</v>
      </c>
      <c r="L17" s="12" t="n">
        <f aca="false">H17*K17</f>
        <v>125</v>
      </c>
      <c r="M17" s="12" t="n">
        <f aca="false">I17*K17</f>
        <v>375</v>
      </c>
      <c r="N17" s="12" t="n">
        <f aca="false">J17*K17</f>
        <v>750</v>
      </c>
      <c r="O17" s="12" t="n">
        <f aca="false">CHOOSE(Inputs!$B$3,L17,M17,N17)</f>
        <v>375</v>
      </c>
    </row>
    <row r="18" customFormat="false" ht="15" hidden="false" customHeight="false" outlineLevel="0" collapsed="false">
      <c r="A18" s="20" t="s">
        <v>124</v>
      </c>
      <c r="B18" s="20" t="s">
        <v>102</v>
      </c>
      <c r="C18" s="20" t="s">
        <v>48</v>
      </c>
      <c r="D18" s="20" t="s">
        <v>125</v>
      </c>
      <c r="E18" s="20" t="s">
        <v>41</v>
      </c>
      <c r="F18" s="20" t="n">
        <v>150</v>
      </c>
      <c r="G18" s="20" t="s">
        <v>97</v>
      </c>
      <c r="H18" s="22" t="n">
        <f aca="false">INDEX(Inputs!$B$7:$B$9,MATCH(E18,Inputs!$A$7:$A$9,0))</f>
        <v>0</v>
      </c>
      <c r="I18" s="22" t="n">
        <f aca="false">INDEX(Inputs!$C$7:$C$9,MATCH(E18,Inputs!$A$7:$A$9,0))</f>
        <v>0</v>
      </c>
      <c r="J18" s="22" t="n">
        <f aca="false">INDEX(Inputs!$D$7:$D$9,MATCH(E18,Inputs!$A$7:$A$9,0))</f>
        <v>0.005</v>
      </c>
      <c r="K18" s="9" t="n">
        <f aca="false">INDEX(Inputs!$B$13:$B$15,MATCH(C18,Inputs!$A$13:$A$15,0))</f>
        <v>25000</v>
      </c>
      <c r="L18" s="12" t="n">
        <f aca="false">H18*K18</f>
        <v>0</v>
      </c>
      <c r="M18" s="12" t="n">
        <f aca="false">I18*K18</f>
        <v>0</v>
      </c>
      <c r="N18" s="12" t="n">
        <f aca="false">J18*K18</f>
        <v>125</v>
      </c>
      <c r="O18" s="12" t="n">
        <f aca="false">CHOOSE(Inputs!$B$3,L18,M18,N18)</f>
        <v>0</v>
      </c>
    </row>
    <row r="19" customFormat="false" ht="15" hidden="false" customHeight="false" outlineLevel="0" collapsed="false">
      <c r="A19" s="20" t="s">
        <v>126</v>
      </c>
      <c r="B19" s="20" t="s">
        <v>99</v>
      </c>
      <c r="C19" s="20" t="s">
        <v>48</v>
      </c>
      <c r="D19" s="20" t="s">
        <v>127</v>
      </c>
      <c r="E19" s="20" t="s">
        <v>40</v>
      </c>
      <c r="F19" s="20" t="n">
        <v>85</v>
      </c>
      <c r="G19" s="20" t="s">
        <v>87</v>
      </c>
      <c r="H19" s="22" t="n">
        <f aca="false">INDEX(Inputs!$B$7:$B$9,MATCH(E19,Inputs!$A$7:$A$9,0))</f>
        <v>0.005</v>
      </c>
      <c r="I19" s="22" t="n">
        <f aca="false">INDEX(Inputs!$C$7:$C$9,MATCH(E19,Inputs!$A$7:$A$9,0))</f>
        <v>0.015</v>
      </c>
      <c r="J19" s="22" t="n">
        <f aca="false">INDEX(Inputs!$D$7:$D$9,MATCH(E19,Inputs!$A$7:$A$9,0))</f>
        <v>0.03</v>
      </c>
      <c r="K19" s="9" t="n">
        <f aca="false">INDEX(Inputs!$B$13:$B$15,MATCH(C19,Inputs!$A$13:$A$15,0))</f>
        <v>25000</v>
      </c>
      <c r="L19" s="12" t="n">
        <f aca="false">H19*K19</f>
        <v>125</v>
      </c>
      <c r="M19" s="12" t="n">
        <f aca="false">I19*K19</f>
        <v>375</v>
      </c>
      <c r="N19" s="12" t="n">
        <f aca="false">J19*K19</f>
        <v>750</v>
      </c>
      <c r="O19" s="12" t="n">
        <f aca="false">CHOOSE(Inputs!$B$3,L19,M19,N19)</f>
        <v>375</v>
      </c>
    </row>
    <row r="20" customFormat="false" ht="15" hidden="false" customHeight="false" outlineLevel="0" collapsed="false">
      <c r="A20" s="7" t="s">
        <v>128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23" t="n">
        <f aca="false">SUM(L2:L19)</f>
        <v>8075</v>
      </c>
      <c r="M20" s="23" t="n">
        <f aca="false">SUM(M2:M19)</f>
        <v>20925</v>
      </c>
      <c r="N20" s="23" t="n">
        <f aca="false">SUM(N2:N19)</f>
        <v>42175</v>
      </c>
      <c r="O20" s="23" t="n">
        <f aca="false">SUM(O2:O19)</f>
        <v>20925</v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customFormat="false" ht="15" hidden="false" customHeight="false" outlineLevel="0" collapsed="false">
      <c r="A22" s="14" t="s">
        <v>129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5" t="s">
        <v>130</v>
      </c>
      <c r="B1" s="6"/>
      <c r="C1" s="6"/>
      <c r="D1" s="6"/>
      <c r="E1" s="6"/>
    </row>
    <row r="2" customFormat="false" ht="15" hidden="false" customHeight="false" outlineLevel="0" collapsed="false">
      <c r="A2" s="6"/>
      <c r="B2" s="6"/>
      <c r="C2" s="6"/>
      <c r="D2" s="6"/>
      <c r="E2" s="6"/>
    </row>
    <row r="3" customFormat="false" ht="15" hidden="false" customHeight="false" outlineLevel="0" collapsed="false">
      <c r="A3" s="8"/>
      <c r="B3" s="8" t="s">
        <v>131</v>
      </c>
      <c r="C3" s="8" t="s">
        <v>132</v>
      </c>
      <c r="D3" s="8" t="s">
        <v>133</v>
      </c>
      <c r="E3" s="8" t="s">
        <v>128</v>
      </c>
    </row>
    <row r="4" customFormat="false" ht="15" hidden="false" customHeight="false" outlineLevel="0" collapsed="false">
      <c r="A4" s="6" t="s">
        <v>134</v>
      </c>
      <c r="B4" s="9" t="n">
        <f aca="false">Actions!$O$20</f>
        <v>20925</v>
      </c>
      <c r="C4" s="9" t="n">
        <f aca="false">Actions!$O$20</f>
        <v>20925</v>
      </c>
      <c r="D4" s="9" t="n">
        <f aca="false">Actions!$O$20</f>
        <v>20925</v>
      </c>
      <c r="E4" s="12" t="n">
        <f aca="false">SUM(B4:D4)</f>
        <v>62775</v>
      </c>
    </row>
    <row r="5" customFormat="false" ht="15" hidden="false" customHeight="false" outlineLevel="0" collapsed="false">
      <c r="A5" s="6"/>
      <c r="B5" s="6"/>
      <c r="C5" s="6"/>
      <c r="D5" s="6"/>
      <c r="E5" s="6"/>
    </row>
    <row r="6" customFormat="false" ht="15" hidden="false" customHeight="false" outlineLevel="0" collapsed="false">
      <c r="A6" s="7" t="s">
        <v>135</v>
      </c>
      <c r="B6" s="6"/>
      <c r="C6" s="6"/>
      <c r="D6" s="6"/>
      <c r="E6" s="6"/>
    </row>
    <row r="7" customFormat="false" ht="15" hidden="false" customHeight="false" outlineLevel="0" collapsed="false">
      <c r="A7" s="6" t="s">
        <v>136</v>
      </c>
      <c r="B7" s="9" t="n">
        <f aca="false">Inputs!$B$21</f>
        <v>11000</v>
      </c>
      <c r="C7" s="12" t="n">
        <f aca="false">B7*(1+Inputs!$B$22)</f>
        <v>11330</v>
      </c>
      <c r="D7" s="12" t="n">
        <f aca="false">C7*(1+Inputs!$B$22)</f>
        <v>11669.9</v>
      </c>
      <c r="E7" s="12" t="n">
        <f aca="false">SUM(B7:D7)</f>
        <v>33999.9</v>
      </c>
    </row>
    <row r="8" customFormat="false" ht="15" hidden="false" customHeight="false" outlineLevel="0" collapsed="false">
      <c r="A8" s="6" t="s">
        <v>137</v>
      </c>
      <c r="B8" s="12" t="n">
        <f aca="false">B$4*(1-Inputs!$B$25)</f>
        <v>4185</v>
      </c>
      <c r="C8" s="12" t="n">
        <f aca="false">C$4*(1-Inputs!$B$25)</f>
        <v>4185</v>
      </c>
      <c r="D8" s="12" t="n">
        <f aca="false">D$4*(1-Inputs!$B$25)</f>
        <v>4185</v>
      </c>
      <c r="E8" s="12" t="n">
        <f aca="false">SUM(B8:D8)</f>
        <v>12555</v>
      </c>
    </row>
    <row r="9" customFormat="false" ht="15" hidden="false" customHeight="false" outlineLevel="0" collapsed="false">
      <c r="A9" s="6" t="s">
        <v>64</v>
      </c>
      <c r="B9" s="12" t="n">
        <f aca="false">Inputs!$B$34*Inputs!$B$35*12</f>
        <v>840</v>
      </c>
      <c r="C9" s="12" t="n">
        <f aca="false">Inputs!$B$34*Inputs!$B$35*12</f>
        <v>840</v>
      </c>
      <c r="D9" s="12" t="n">
        <f aca="false">Inputs!$B$34*Inputs!$B$35*12</f>
        <v>840</v>
      </c>
      <c r="E9" s="12" t="n">
        <f aca="false">SUM(B9:D9)</f>
        <v>2520</v>
      </c>
    </row>
    <row r="10" customFormat="false" ht="15" hidden="false" customHeight="false" outlineLevel="0" collapsed="false">
      <c r="A10" s="7" t="s">
        <v>138</v>
      </c>
      <c r="B10" s="23" t="n">
        <f aca="false">SUM(B7:B9)</f>
        <v>16025</v>
      </c>
      <c r="C10" s="23" t="n">
        <f aca="false">SUM(C7:C9)</f>
        <v>16355</v>
      </c>
      <c r="D10" s="23" t="n">
        <f aca="false">SUM(D7:D9)</f>
        <v>16694.9</v>
      </c>
      <c r="E10" s="23" t="n">
        <f aca="false">SUM(B10:D10)</f>
        <v>49074.9</v>
      </c>
    </row>
    <row r="11" customFormat="false" ht="15" hidden="false" customHeight="false" outlineLevel="0" collapsed="false">
      <c r="A11" s="6"/>
      <c r="B11" s="6"/>
      <c r="C11" s="6"/>
      <c r="D11" s="6"/>
      <c r="E11" s="6"/>
    </row>
    <row r="12" customFormat="false" ht="15" hidden="false" customHeight="false" outlineLevel="0" collapsed="false">
      <c r="A12" s="7" t="s">
        <v>139</v>
      </c>
      <c r="B12" s="6"/>
      <c r="C12" s="6"/>
      <c r="D12" s="6"/>
      <c r="E12" s="6"/>
    </row>
    <row r="13" customFormat="false" ht="15" hidden="false" customHeight="false" outlineLevel="0" collapsed="false">
      <c r="A13" s="6" t="s">
        <v>140</v>
      </c>
      <c r="B13" s="12" t="n">
        <f aca="false">Inputs!$B$29*Inputs!$B$30</f>
        <v>19200</v>
      </c>
      <c r="C13" s="12" t="n">
        <f aca="false">Inputs!$B$29*Inputs!$B$30</f>
        <v>19200</v>
      </c>
      <c r="D13" s="12" t="n">
        <f aca="false">Inputs!$B$29*Inputs!$B$30</f>
        <v>19200</v>
      </c>
      <c r="E13" s="12" t="n">
        <f aca="false">SUM(B13:D13)</f>
        <v>57600</v>
      </c>
    </row>
    <row r="14" customFormat="false" ht="15" hidden="false" customHeight="false" outlineLevel="0" collapsed="false">
      <c r="A14" s="6" t="s">
        <v>141</v>
      </c>
      <c r="B14" s="9" t="n">
        <f aca="false">Inputs!$B$31</f>
        <v>3500</v>
      </c>
      <c r="C14" s="9" t="n">
        <f aca="false">Inputs!$B$31</f>
        <v>3500</v>
      </c>
      <c r="D14" s="9" t="n">
        <f aca="false">Inputs!$B$31</f>
        <v>3500</v>
      </c>
      <c r="E14" s="12" t="n">
        <f aca="false">SUM(B14:D14)</f>
        <v>10500</v>
      </c>
    </row>
    <row r="15" customFormat="false" ht="15" hidden="false" customHeight="false" outlineLevel="0" collapsed="false">
      <c r="A15" s="6" t="s">
        <v>137</v>
      </c>
      <c r="B15" s="12" t="n">
        <f aca="false">B$4*(1-Inputs!$B$26)</f>
        <v>10462.5</v>
      </c>
      <c r="C15" s="12" t="n">
        <f aca="false">C$4*(1-Inputs!$B$26)</f>
        <v>10462.5</v>
      </c>
      <c r="D15" s="12" t="n">
        <f aca="false">D$4*(1-Inputs!$B$26)</f>
        <v>10462.5</v>
      </c>
      <c r="E15" s="12" t="n">
        <f aca="false">SUM(B15:D15)</f>
        <v>31387.5</v>
      </c>
    </row>
    <row r="16" customFormat="false" ht="15" hidden="false" customHeight="false" outlineLevel="0" collapsed="false">
      <c r="A16" s="6" t="s">
        <v>64</v>
      </c>
      <c r="B16" s="12" t="n">
        <f aca="false">Inputs!$B$34*Inputs!$B$36*12</f>
        <v>1260</v>
      </c>
      <c r="C16" s="12" t="n">
        <f aca="false">Inputs!$B$34*Inputs!$B$36*12</f>
        <v>1260</v>
      </c>
      <c r="D16" s="12" t="n">
        <f aca="false">Inputs!$B$34*Inputs!$B$36*12</f>
        <v>1260</v>
      </c>
      <c r="E16" s="12" t="n">
        <f aca="false">SUM(B16:D16)</f>
        <v>3780</v>
      </c>
    </row>
    <row r="17" customFormat="false" ht="15" hidden="false" customHeight="false" outlineLevel="0" collapsed="false">
      <c r="A17" s="7" t="s">
        <v>138</v>
      </c>
      <c r="B17" s="23" t="n">
        <f aca="false">SUM(B13:B16)</f>
        <v>34422.5</v>
      </c>
      <c r="C17" s="23" t="n">
        <f aca="false">SUM(C13:C16)</f>
        <v>34422.5</v>
      </c>
      <c r="D17" s="23" t="n">
        <f aca="false">SUM(D13:D16)</f>
        <v>34422.5</v>
      </c>
      <c r="E17" s="23" t="n">
        <f aca="false">SUM(B17:D17)</f>
        <v>103267.5</v>
      </c>
    </row>
    <row r="18" customFormat="false" ht="15" hidden="false" customHeight="false" outlineLevel="0" collapsed="false">
      <c r="A18" s="6"/>
      <c r="B18" s="6"/>
      <c r="C18" s="6"/>
      <c r="D18" s="6"/>
      <c r="E18" s="6"/>
    </row>
    <row r="19" customFormat="false" ht="15" hidden="false" customHeight="false" outlineLevel="0" collapsed="false">
      <c r="A19" s="7" t="s">
        <v>142</v>
      </c>
      <c r="B19" s="6"/>
      <c r="C19" s="6"/>
      <c r="D19" s="6"/>
      <c r="E19" s="6"/>
    </row>
    <row r="20" customFormat="false" ht="15" hidden="false" customHeight="false" outlineLevel="0" collapsed="false">
      <c r="A20" s="6" t="s">
        <v>137</v>
      </c>
      <c r="B20" s="12" t="n">
        <f aca="false">B$4</f>
        <v>20925</v>
      </c>
      <c r="C20" s="12" t="n">
        <f aca="false">C$4</f>
        <v>20925</v>
      </c>
      <c r="D20" s="12" t="n">
        <f aca="false">D$4</f>
        <v>20925</v>
      </c>
      <c r="E20" s="12" t="n">
        <f aca="false">SUM(B20:D20)</f>
        <v>62775</v>
      </c>
    </row>
    <row r="21" customFormat="false" ht="15" hidden="false" customHeight="false" outlineLevel="0" collapsed="false">
      <c r="A21" s="6" t="s">
        <v>64</v>
      </c>
      <c r="B21" s="12" t="n">
        <f aca="false">Inputs!$B$34*Inputs!$B$37*12</f>
        <v>3360</v>
      </c>
      <c r="C21" s="12" t="n">
        <f aca="false">Inputs!$B$34*Inputs!$B$37*12</f>
        <v>3360</v>
      </c>
      <c r="D21" s="12" t="n">
        <f aca="false">Inputs!$B$34*Inputs!$B$37*12</f>
        <v>3360</v>
      </c>
      <c r="E21" s="12" t="n">
        <f aca="false">SUM(B21:D21)</f>
        <v>10080</v>
      </c>
    </row>
    <row r="22" customFormat="false" ht="15" hidden="false" customHeight="false" outlineLevel="0" collapsed="false">
      <c r="A22" s="7" t="s">
        <v>138</v>
      </c>
      <c r="B22" s="23" t="n">
        <f aca="false">SUM(B20:B21)</f>
        <v>24285</v>
      </c>
      <c r="C22" s="23" t="n">
        <f aca="false">SUM(C20:C21)</f>
        <v>24285</v>
      </c>
      <c r="D22" s="23" t="n">
        <f aca="false">SUM(D20:D21)</f>
        <v>24285</v>
      </c>
      <c r="E22" s="23" t="n">
        <f aca="false">SUM(B22:D22)</f>
        <v>72855</v>
      </c>
    </row>
    <row r="23" customFormat="false" ht="15" hidden="false" customHeight="false" outlineLevel="0" collapsed="false">
      <c r="A23" s="6"/>
      <c r="B23" s="6"/>
      <c r="C23" s="6"/>
      <c r="D23" s="6"/>
      <c r="E23" s="6"/>
    </row>
    <row r="24" customFormat="false" ht="15" hidden="false" customHeight="false" outlineLevel="0" collapsed="false">
      <c r="A24" s="14" t="s">
        <v>143</v>
      </c>
      <c r="B24" s="6"/>
      <c r="C24" s="6"/>
      <c r="D24" s="6"/>
      <c r="E2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2026-10-27T14:55:47Z</dcterms:created>
  <dc:creator>openpyxl</dc:creator>
  <dc:description/>
  <dc:language>en-US</dc:language>
  <cp:lastModifiedBy/>
  <dcterms:modified xsi:type="dcterms:W3CDTF">2026-10-27T14:55:47Z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